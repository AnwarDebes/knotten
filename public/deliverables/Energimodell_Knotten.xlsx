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ergimodell" state="visible" r:id="rId4"/>
  </sheets>
  <calcPr calcId="171027"/>
</workbook>
</file>

<file path=xl/sharedStrings.xml><?xml version="1.0" encoding="utf-8"?>
<sst xmlns="http://schemas.openxmlformats.org/spreadsheetml/2006/main" count="39" uniqueCount="33">
  <si>
    <t>Parameter</t>
  </si>
  <si>
    <t>Verdi</t>
  </si>
  <si>
    <t>Enhet</t>
  </si>
  <si>
    <t>Kilde/forbehold</t>
  </si>
  <si>
    <t>Oppvarmet areal (per bolig)</t>
  </si>
  <si>
    <t>m2</t>
  </si>
  <si>
    <t>Indikativ; settes per boligtype</t>
  </si>
  <si>
    <t>Netto oppvarmingsbehov</t>
  </si>
  <si>
    <t>kWh/m2/ar</t>
  </si>
  <si>
    <t>Passivhusniva, NS 3700 (indikativt)</t>
  </si>
  <si>
    <t>Husholdningsstrom</t>
  </si>
  <si>
    <t>kWh/ar</t>
  </si>
  <si>
    <t>Indikativ, SSB-niva</t>
  </si>
  <si>
    <t>Solcelleanlegg</t>
  </si>
  <si>
    <t>kWp</t>
  </si>
  <si>
    <t>Solutbytte</t>
  </si>
  <si>
    <t>kWh/kWp/ar</t>
  </si>
  <si>
    <t>PVGIS, sorvendt (indikativt)</t>
  </si>
  <si>
    <t>Antall boliger</t>
  </si>
  <si>
    <t>stk</t>
  </si>
  <si>
    <t>PLASSHOLDER: ukjent inntil regulering</t>
  </si>
  <si>
    <t>Beregnet (per bolig)</t>
  </si>
  <si>
    <t/>
  </si>
  <si>
    <t>Oppvarmingsstrom</t>
  </si>
  <si>
    <t>areal x spesifikt behov</t>
  </si>
  <si>
    <t>Energibehov totalt</t>
  </si>
  <si>
    <t>oppvarming + husholdning</t>
  </si>
  <si>
    <t>Solproduksjon</t>
  </si>
  <si>
    <t>kWp x utbytte</t>
  </si>
  <si>
    <t>Selvforsyning (med batteri, 0,6)</t>
  </si>
  <si>
    <t>andel</t>
  </si>
  <si>
    <t>selvforbruk 0,6 med batteri</t>
  </si>
  <si>
    <t>Forbehold: Alle tall er indikative estimater (per juni 2026) og krever profesjonell verifikasjon. Antall tomter, priser, storrelser og fremdrift oppgis nar reguleringen er klar. Dette er ikke et tilbud.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</si>
</sst>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42" customWidth="1"/>
    <col min="2" max="3" width="16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140</v>
      </c>
      <c r="C2" t="s">
        <v>5</v>
      </c>
      <c r="D2" t="s">
        <v>6</v>
      </c>
    </row>
    <row r="3" spans="1:4" x14ac:dyDescent="0.25">
      <c r="A3" t="s">
        <v>7</v>
      </c>
      <c r="B3">
        <v>15</v>
      </c>
      <c r="C3" t="s">
        <v>8</v>
      </c>
      <c r="D3" t="s">
        <v>9</v>
      </c>
    </row>
    <row r="4" spans="1:4" x14ac:dyDescent="0.25">
      <c r="A4" t="s">
        <v>10</v>
      </c>
      <c r="B4">
        <v>6000</v>
      </c>
      <c r="C4" t="s">
        <v>11</v>
      </c>
      <c r="D4" t="s">
        <v>12</v>
      </c>
    </row>
    <row r="5" spans="1:4" x14ac:dyDescent="0.25">
      <c r="A5" t="s">
        <v>13</v>
      </c>
      <c r="B5">
        <v>7</v>
      </c>
      <c r="C5" t="s">
        <v>14</v>
      </c>
      <c r="D5" t="s">
        <v>6</v>
      </c>
    </row>
    <row r="6" spans="1:4" x14ac:dyDescent="0.25">
      <c r="A6" t="s">
        <v>15</v>
      </c>
      <c r="B6">
        <v>1010</v>
      </c>
      <c r="C6" t="s">
        <v>16</v>
      </c>
      <c r="D6" t="s">
        <v>17</v>
      </c>
    </row>
    <row r="7" spans="1:4" x14ac:dyDescent="0.25">
      <c r="A7" t="s">
        <v>18</v>
      </c>
      <c r="B7">
        <v>12</v>
      </c>
      <c r="C7" t="s">
        <v>19</v>
      </c>
      <c r="D7" t="s">
        <v>20</v>
      </c>
    </row>
    <row r="9" spans="1:4" s="1" customFormat="1" x14ac:dyDescent="0.25">
      <c r="A9" s="1" t="s">
        <v>21</v>
      </c>
      <c r="B9" s="1" t="s">
        <v>22</v>
      </c>
      <c r="C9" s="1" t="s">
        <v>22</v>
      </c>
      <c r="D9" s="1" t="s">
        <v>22</v>
      </c>
    </row>
    <row r="10" spans="1:4" x14ac:dyDescent="0.25">
      <c r="A10" t="s">
        <v>23</v>
      </c>
      <c r="B10">
        <f>B2*B3</f>
      </c>
      <c r="C10" t="s">
        <v>11</v>
      </c>
      <c r="D10" t="s">
        <v>24</v>
      </c>
    </row>
    <row r="11" spans="1:4" x14ac:dyDescent="0.25">
      <c r="A11" t="s">
        <v>25</v>
      </c>
      <c r="B11">
        <f>B2*B3+B4</f>
      </c>
      <c r="C11" t="s">
        <v>11</v>
      </c>
      <c r="D11" t="s">
        <v>26</v>
      </c>
    </row>
    <row r="12" spans="1:4" x14ac:dyDescent="0.25">
      <c r="A12" t="s">
        <v>27</v>
      </c>
      <c r="B12">
        <f>B5*B6</f>
      </c>
      <c r="C12" t="s">
        <v>11</v>
      </c>
      <c r="D12" t="s">
        <v>28</v>
      </c>
    </row>
    <row r="13" spans="1:4" x14ac:dyDescent="0.25">
      <c r="A13" t="s">
        <v>29</v>
      </c>
      <c r="B13">
        <f>MIN(1, (B5*B6*0.6)/(B2*B3+B4))</f>
      </c>
      <c r="C13" t="s">
        <v>30</v>
      </c>
      <c r="D13" t="s">
        <v>31</v>
      </c>
    </row>
    <row r="15" spans="1:1" x14ac:dyDescent="0.25">
      <c r="A1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Energimodell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Sigve Simonsen AS</dc:creator>
  <dc:title/>
  <dc:subject/>
  <dc:description/>
  <cp:keywords/>
  <cp:category/>
  <cp:lastModifiedBy>Unknown</cp:lastModifiedBy>
  <dcterms:created xsi:type="dcterms:W3CDTF">2026-06-20T19:28:57Z</dcterms:created>
  <dcterms:modified xsi:type="dcterms:W3CDTF">2026-06-20T19:28:57Z</dcterms:modified>
</cp:coreProperties>
</file>